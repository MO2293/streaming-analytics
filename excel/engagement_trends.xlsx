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 Performance" sheetId="1" state="visible" r:id="rId3"/>
    <sheet name="Country Performance" sheetId="2" state="visible" r:id="rId4"/>
    <sheet name="Genre Performance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<sst xmlns="http://schemas.openxmlformats.org/spreadsheetml/2006/main" count="60" uniqueCount="49">
  <si>
    <t xml:space="preserve">Streaming Engagement — Subscription Plan Performance</t>
  </si>
  <si>
    <t xml:space="preserve">Watch-time and engagement aggregated by subscription plan (source: data/raw).</t>
  </si>
  <si>
    <t xml:space="preserve">Subscription Plan</t>
  </si>
  <si>
    <t xml:space="preserve">Active Users</t>
  </si>
  <si>
    <t xml:space="preserve">Total Events</t>
  </si>
  <si>
    <t xml:space="preserve">Total Watch Time (min)</t>
  </si>
  <si>
    <t xml:space="preserve">Avg Min / User</t>
  </si>
  <si>
    <t xml:space="preserve">Avg Min / Event</t>
  </si>
  <si>
    <t xml:space="preserve">% of Watch Time</t>
  </si>
  <si>
    <t xml:space="preserve">Basic</t>
  </si>
  <si>
    <t xml:space="preserve">Standard</t>
  </si>
  <si>
    <t xml:space="preserve">Premium</t>
  </si>
  <si>
    <t xml:space="preserve">Total</t>
  </si>
  <si>
    <t xml:space="preserve">ARPU &amp; Revenue What-If Model</t>
  </si>
  <si>
    <t xml:space="preserve">Monthly price assumptions (blue = editable input)</t>
  </si>
  <si>
    <t xml:space="preserve">Plan</t>
  </si>
  <si>
    <t xml:space="preserve">Monthly Price ($)</t>
  </si>
  <si>
    <t xml:space="preserve">Est. Monthly Revenue ($)</t>
  </si>
  <si>
    <t xml:space="preserve">Total MRR</t>
  </si>
  <si>
    <t xml:space="preserve">Blended ARPU ($/user)</t>
  </si>
  <si>
    <t xml:space="preserve">Est. Annual Revenue ($)</t>
  </si>
  <si>
    <t xml:space="preserve">Note: prices are illustrative inputs. Change the blue cells to model different pricing scenarios.</t>
  </si>
  <si>
    <t xml:space="preserve">Watch Time by Country</t>
  </si>
  <si>
    <t xml:space="preserve">Total engagement by user country, ranked by watch time.</t>
  </si>
  <si>
    <t xml:space="preserve">Country</t>
  </si>
  <si>
    <t xml:space="preserve">% of Total</t>
  </si>
  <si>
    <t xml:space="preserve">US</t>
  </si>
  <si>
    <t xml:space="preserve">CA</t>
  </si>
  <si>
    <t xml:space="preserve">UK</t>
  </si>
  <si>
    <t xml:space="preserve">FR</t>
  </si>
  <si>
    <t xml:space="preserve">DE</t>
  </si>
  <si>
    <t xml:space="preserve">BR</t>
  </si>
  <si>
    <t xml:space="preserve">IN</t>
  </si>
  <si>
    <t xml:space="preserve">AU</t>
  </si>
  <si>
    <t xml:space="preserve">Content Performance by Genre</t>
  </si>
  <si>
    <t xml:space="preserve">Which genres drive watch time and completion.</t>
  </si>
  <si>
    <t xml:space="preserve">Genre</t>
  </si>
  <si>
    <t xml:space="preserve">Completion Rate</t>
  </si>
  <si>
    <t xml:space="preserve">(completed events)</t>
  </si>
  <si>
    <t xml:space="preserve">Romance</t>
  </si>
  <si>
    <t xml:space="preserve">Horror</t>
  </si>
  <si>
    <t xml:space="preserve">Comedy</t>
  </si>
  <si>
    <t xml:space="preserve">Animation</t>
  </si>
  <si>
    <t xml:space="preserve">Fantasy</t>
  </si>
  <si>
    <t xml:space="preserve">Drama</t>
  </si>
  <si>
    <t xml:space="preserve">Sci-Fi</t>
  </si>
  <si>
    <t xml:space="preserve">Action</t>
  </si>
  <si>
    <t xml:space="preserve">Documentary</t>
  </si>
  <si>
    <t xml:space="preserve">Thriller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</si>
</sst>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0.0%"/>
    <numFmt numFmtId="167" formatCode="\$#,##0.00"/>
    <numFmt numFmtId="168" formatCode="\$#,##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1F3864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DEBF7"/>
        <bgColor rgb="FFF2F2F2"/>
      </patternFill>
    </fill>
    <fill>
      <patternFill patternType="solid">
        <fgColor rgb="FF2E5FA3"/>
        <bgColor rgb="FF3366FF"/>
      </patternFill>
    </fill>
    <fill>
      <patternFill patternType="solid">
        <fgColor rgb="FFF2F2F2"/>
        <bgColor rgb="FFDDEBF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DDEBF7"/>
      <rgbColor rgb="FF660066"/>
      <rgbColor rgb="FFFF8080"/>
      <rgbColor rgb="FF2E5FA3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4" min="4" style="0" width="22"/>
    <col collapsed="false" customWidth="true" hidden="false" outlineLevel="0" max="7" min="5" style="0" width="16"/>
  </cols>
  <sheetData>
    <row r="1" customFormat="false" ht="18.5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</row>
    <row r="5" customFormat="false" ht="15" hidden="false" customHeight="false" outlineLevel="0" collapsed="false">
      <c r="A5" s="3" t="s">
        <v>2</v>
      </c>
      <c r="B5" s="3" t="s">
        <v>3</v>
      </c>
      <c r="C5" s="3" t="s">
        <v>4</v>
      </c>
      <c r="D5" s="3" t="s">
        <v>5</v>
      </c>
      <c r="E5" s="3" t="s">
        <v>6</v>
      </c>
      <c r="F5" s="3" t="s">
        <v>7</v>
      </c>
      <c r="G5" s="3" t="s">
        <v>8</v>
      </c>
    </row>
    <row r="6" customFormat="false" ht="15" hidden="false" customHeight="false" outlineLevel="0" collapsed="false">
      <c r="A6" s="4" t="s">
        <v>9</v>
      </c>
      <c r="B6" s="5" t="n">
        <v>830</v>
      </c>
      <c r="C6" s="5" t="n">
        <v>20718</v>
      </c>
      <c r="D6" s="5" t="n">
        <v>1901996</v>
      </c>
      <c r="E6" s="5" t="n">
        <f aca="false">D6/B6</f>
        <v>2291.56144578313</v>
      </c>
      <c r="F6" s="5" t="n">
        <f aca="false">D6/C6</f>
        <v>91.8040351385269</v>
      </c>
      <c r="G6" s="6" t="n">
        <f aca="false">D6/$D$9</f>
        <v>0.41403516868268</v>
      </c>
    </row>
    <row r="7" customFormat="false" ht="15" hidden="false" customHeight="false" outlineLevel="0" collapsed="false">
      <c r="A7" s="4" t="s">
        <v>10</v>
      </c>
      <c r="B7" s="5" t="n">
        <v>801</v>
      </c>
      <c r="C7" s="5" t="n">
        <v>20109</v>
      </c>
      <c r="D7" s="5" t="n">
        <v>1844003</v>
      </c>
      <c r="E7" s="5" t="n">
        <f aca="false">D7/B7</f>
        <v>2302.12609238452</v>
      </c>
      <c r="F7" s="5" t="n">
        <f aca="false">D7/C7</f>
        <v>91.7003829131235</v>
      </c>
      <c r="G7" s="6" t="n">
        <f aca="false">D7/$D$9</f>
        <v>0.401410987802481</v>
      </c>
    </row>
    <row r="8" customFormat="false" ht="15" hidden="false" customHeight="false" outlineLevel="0" collapsed="false">
      <c r="A8" s="4" t="s">
        <v>11</v>
      </c>
      <c r="B8" s="5" t="n">
        <v>369</v>
      </c>
      <c r="C8" s="5" t="n">
        <v>9173</v>
      </c>
      <c r="D8" s="5" t="n">
        <v>847804</v>
      </c>
      <c r="E8" s="5" t="n">
        <f aca="false">D8/B8</f>
        <v>2297.57181571816</v>
      </c>
      <c r="F8" s="5" t="n">
        <f aca="false">D8/C8</f>
        <v>92.4238526109234</v>
      </c>
      <c r="G8" s="6" t="n">
        <f aca="false">D8/$D$9</f>
        <v>0.184553843514839</v>
      </c>
    </row>
    <row r="9" customFormat="false" ht="15" hidden="false" customHeight="false" outlineLevel="0" collapsed="false">
      <c r="A9" s="7" t="s">
        <v>12</v>
      </c>
      <c r="B9" s="8" t="n">
        <f aca="false">SUM(B6:B8)</f>
        <v>2000</v>
      </c>
      <c r="C9" s="8" t="n">
        <f aca="false">SUM(C6:C8)</f>
        <v>50000</v>
      </c>
      <c r="D9" s="8" t="n">
        <f aca="false">SUM(D6:D8)</f>
        <v>4593803</v>
      </c>
      <c r="E9" s="8" t="n">
        <f aca="false">D9/B9</f>
        <v>2296.9015</v>
      </c>
      <c r="F9" s="8" t="n">
        <f aca="false">D9/C9</f>
        <v>91.87606</v>
      </c>
      <c r="G9" s="9" t="n">
        <f aca="false">SUM(G6:G8)</f>
        <v>1</v>
      </c>
    </row>
    <row r="12" customFormat="false" ht="15" hidden="false" customHeight="false" outlineLevel="0" collapsed="false">
      <c r="A12" s="10" t="s">
        <v>13</v>
      </c>
    </row>
    <row r="13" customFormat="false" ht="15" hidden="false" customHeight="false" outlineLevel="0" collapsed="false">
      <c r="A13" s="2" t="s">
        <v>14</v>
      </c>
    </row>
    <row r="14" customFormat="false" ht="15" hidden="false" customHeight="false" outlineLevel="0" collapsed="false">
      <c r="A14" s="11" t="s">
        <v>15</v>
      </c>
      <c r="B14" s="11" t="s">
        <v>16</v>
      </c>
      <c r="C14" s="11" t="s">
        <v>3</v>
      </c>
      <c r="D14" s="11" t="s">
        <v>17</v>
      </c>
    </row>
    <row r="15" customFormat="false" ht="15" hidden="false" customHeight="false" outlineLevel="0" collapsed="false">
      <c r="A15" s="4" t="s">
        <v>9</v>
      </c>
      <c r="B15" s="12" t="n">
        <v>9.99</v>
      </c>
      <c r="C15" s="5" t="n">
        <f aca="false">B6</f>
        <v>830</v>
      </c>
      <c r="D15" s="13" t="n">
        <f aca="false">B15*C15</f>
        <v>8291.7</v>
      </c>
    </row>
    <row r="16" customFormat="false" ht="15" hidden="false" customHeight="false" outlineLevel="0" collapsed="false">
      <c r="A16" s="4" t="s">
        <v>10</v>
      </c>
      <c r="B16" s="12" t="n">
        <v>15.49</v>
      </c>
      <c r="C16" s="5" t="n">
        <f aca="false">B7</f>
        <v>801</v>
      </c>
      <c r="D16" s="13" t="n">
        <f aca="false">B16*C16</f>
        <v>12407.49</v>
      </c>
    </row>
    <row r="17" customFormat="false" ht="15" hidden="false" customHeight="false" outlineLevel="0" collapsed="false">
      <c r="A17" s="4" t="s">
        <v>11</v>
      </c>
      <c r="B17" s="12" t="n">
        <v>22.99</v>
      </c>
      <c r="C17" s="5" t="n">
        <f aca="false">B8</f>
        <v>369</v>
      </c>
      <c r="D17" s="13" t="n">
        <f aca="false">B17*C17</f>
        <v>8483.31</v>
      </c>
    </row>
    <row r="18" customFormat="false" ht="15" hidden="false" customHeight="false" outlineLevel="0" collapsed="false">
      <c r="A18" s="7" t="s">
        <v>18</v>
      </c>
      <c r="B18" s="7"/>
      <c r="C18" s="8" t="n">
        <f aca="false">SUM(C15:C17)</f>
        <v>2000</v>
      </c>
      <c r="D18" s="14" t="n">
        <f aca="false">SUM(D15:D17)</f>
        <v>29182.5</v>
      </c>
    </row>
    <row r="19" customFormat="false" ht="15" hidden="false" customHeight="false" outlineLevel="0" collapsed="false">
      <c r="A19" s="4" t="s">
        <v>19</v>
      </c>
      <c r="D19" s="15" t="n">
        <f aca="false">D18/C18</f>
        <v>14.59125</v>
      </c>
    </row>
    <row r="20" customFormat="false" ht="15" hidden="false" customHeight="false" outlineLevel="0" collapsed="false">
      <c r="A20" s="4" t="s">
        <v>20</v>
      </c>
      <c r="D20" s="16" t="n">
        <f aca="false">D18*12</f>
        <v>350190</v>
      </c>
    </row>
    <row r="22" customFormat="false" ht="15" hidden="false" customHeight="false" outlineLevel="0" collapsed="false">
      <c r="A22" s="2" t="s">
        <v>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14"/>
    <col collapsed="false" customWidth="true" hidden="false" outlineLevel="0" max="4" min="4" style="0" width="22"/>
    <col collapsed="false" customWidth="true" hidden="false" outlineLevel="0" max="5" min="5" style="0" width="12"/>
  </cols>
  <sheetData>
    <row r="1" customFormat="false" ht="18.55" hidden="false" customHeight="false" outlineLevel="0" collapsed="false">
      <c r="A1" s="1" t="s">
        <v>22</v>
      </c>
    </row>
    <row r="3" customFormat="false" ht="15" hidden="false" customHeight="false" outlineLevel="0" collapsed="false">
      <c r="A3" s="2" t="s">
        <v>23</v>
      </c>
    </row>
    <row r="5" customFormat="false" ht="15" hidden="false" customHeight="false" outlineLevel="0" collapsed="false">
      <c r="A5" s="3" t="s">
        <v>24</v>
      </c>
      <c r="B5" s="3" t="s">
        <v>3</v>
      </c>
      <c r="C5" s="3" t="s">
        <v>4</v>
      </c>
      <c r="D5" s="3" t="s">
        <v>5</v>
      </c>
      <c r="E5" s="3" t="s">
        <v>25</v>
      </c>
    </row>
    <row r="6" customFormat="false" ht="15" hidden="false" customHeight="false" outlineLevel="0" collapsed="false">
      <c r="A6" s="4" t="s">
        <v>26</v>
      </c>
      <c r="B6" s="5" t="n">
        <v>266</v>
      </c>
      <c r="C6" s="5" t="n">
        <v>6604</v>
      </c>
      <c r="D6" s="5" t="n">
        <v>610116</v>
      </c>
      <c r="E6" s="6" t="n">
        <f aca="false">D6/$D$14</f>
        <v>0.132812835030148</v>
      </c>
    </row>
    <row r="7" customFormat="false" ht="15" hidden="false" customHeight="false" outlineLevel="0" collapsed="false">
      <c r="A7" s="17" t="s">
        <v>27</v>
      </c>
      <c r="B7" s="18" t="n">
        <v>265</v>
      </c>
      <c r="C7" s="18" t="n">
        <v>6617</v>
      </c>
      <c r="D7" s="18" t="n">
        <v>608129</v>
      </c>
      <c r="E7" s="19" t="n">
        <f aca="false">D7/$D$14</f>
        <v>0.132380295802846</v>
      </c>
    </row>
    <row r="8" customFormat="false" ht="15" hidden="false" customHeight="false" outlineLevel="0" collapsed="false">
      <c r="A8" s="4" t="s">
        <v>28</v>
      </c>
      <c r="B8" s="5" t="n">
        <v>268</v>
      </c>
      <c r="C8" s="5" t="n">
        <v>6593</v>
      </c>
      <c r="D8" s="5" t="n">
        <v>605261</v>
      </c>
      <c r="E8" s="6" t="n">
        <f aca="false">D8/$D$14</f>
        <v>0.131755976475265</v>
      </c>
    </row>
    <row r="9" customFormat="false" ht="15" hidden="false" customHeight="false" outlineLevel="0" collapsed="false">
      <c r="A9" s="17" t="s">
        <v>29</v>
      </c>
      <c r="B9" s="18" t="n">
        <v>256</v>
      </c>
      <c r="C9" s="18" t="n">
        <v>6444</v>
      </c>
      <c r="D9" s="18" t="n">
        <v>592133</v>
      </c>
      <c r="E9" s="19" t="n">
        <f aca="false">D9/$D$14</f>
        <v>0.128898213528094</v>
      </c>
    </row>
    <row r="10" customFormat="false" ht="15" hidden="false" customHeight="false" outlineLevel="0" collapsed="false">
      <c r="A10" s="4" t="s">
        <v>30</v>
      </c>
      <c r="B10" s="5" t="n">
        <v>244</v>
      </c>
      <c r="C10" s="5" t="n">
        <v>6068</v>
      </c>
      <c r="D10" s="5" t="n">
        <v>558987</v>
      </c>
      <c r="E10" s="6" t="n">
        <f aca="false">D10/$D$14</f>
        <v>0.121682840992528</v>
      </c>
    </row>
    <row r="11" customFormat="false" ht="15" hidden="false" customHeight="false" outlineLevel="0" collapsed="false">
      <c r="A11" s="17" t="s">
        <v>31</v>
      </c>
      <c r="B11" s="18" t="n">
        <v>239</v>
      </c>
      <c r="C11" s="18" t="n">
        <v>6008</v>
      </c>
      <c r="D11" s="18" t="n">
        <v>552879</v>
      </c>
      <c r="E11" s="19" t="n">
        <f aca="false">D11/$D$14</f>
        <v>0.120353223679814</v>
      </c>
    </row>
    <row r="12" customFormat="false" ht="15" hidden="false" customHeight="false" outlineLevel="0" collapsed="false">
      <c r="A12" s="4" t="s">
        <v>32</v>
      </c>
      <c r="B12" s="5" t="n">
        <v>237</v>
      </c>
      <c r="C12" s="5" t="n">
        <v>5984</v>
      </c>
      <c r="D12" s="5" t="n">
        <v>548354</v>
      </c>
      <c r="E12" s="6" t="n">
        <f aca="false">D12/$D$14</f>
        <v>0.119368201030823</v>
      </c>
    </row>
    <row r="13" customFormat="false" ht="15" hidden="false" customHeight="false" outlineLevel="0" collapsed="false">
      <c r="A13" s="17" t="s">
        <v>33</v>
      </c>
      <c r="B13" s="18" t="n">
        <v>225</v>
      </c>
      <c r="C13" s="18" t="n">
        <v>5682</v>
      </c>
      <c r="D13" s="18" t="n">
        <v>517944</v>
      </c>
      <c r="E13" s="19" t="n">
        <f aca="false">D13/$D$14</f>
        <v>0.112748413460481</v>
      </c>
    </row>
    <row r="14" customFormat="false" ht="15" hidden="false" customHeight="false" outlineLevel="0" collapsed="false">
      <c r="A14" s="7" t="s">
        <v>12</v>
      </c>
      <c r="B14" s="8" t="n">
        <f aca="false">SUM(B6:B13)</f>
        <v>2000</v>
      </c>
      <c r="C14" s="8" t="n">
        <f aca="false">SUM(C6:C13)</f>
        <v>50000</v>
      </c>
      <c r="D14" s="8" t="n">
        <f aca="false">SUM(D6:D13)</f>
        <v>4593803</v>
      </c>
      <c r="E14" s="9" t="n">
        <f aca="false">SUM(E6:E13)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4"/>
    <col collapsed="false" customWidth="true" hidden="false" outlineLevel="0" max="3" min="3" style="0" width="22"/>
    <col collapsed="false" customWidth="true" hidden="false" outlineLevel="0" max="5" min="4" style="0" width="16"/>
    <col collapsed="false" customWidth="true" hidden="false" outlineLevel="0" max="7" min="7" style="0" width="16"/>
  </cols>
  <sheetData>
    <row r="1" customFormat="false" ht="18.55" hidden="false" customHeight="false" outlineLevel="0" collapsed="false">
      <c r="A1" s="1" t="s">
        <v>34</v>
      </c>
    </row>
    <row r="3" customFormat="false" ht="15" hidden="false" customHeight="false" outlineLevel="0" collapsed="false">
      <c r="A3" s="2" t="s">
        <v>35</v>
      </c>
    </row>
    <row r="5" customFormat="false" ht="15" hidden="false" customHeight="false" outlineLevel="0" collapsed="false">
      <c r="A5" s="3" t="s">
        <v>36</v>
      </c>
      <c r="B5" s="3" t="s">
        <v>4</v>
      </c>
      <c r="C5" s="3" t="s">
        <v>5</v>
      </c>
      <c r="D5" s="3" t="s">
        <v>7</v>
      </c>
      <c r="E5" s="3" t="s">
        <v>37</v>
      </c>
      <c r="G5" s="2" t="s">
        <v>38</v>
      </c>
    </row>
    <row r="6" customFormat="false" ht="15" hidden="false" customHeight="false" outlineLevel="0" collapsed="false">
      <c r="A6" s="4" t="s">
        <v>39</v>
      </c>
      <c r="B6" s="5" t="n">
        <v>6321</v>
      </c>
      <c r="C6" s="5" t="n">
        <v>580314</v>
      </c>
      <c r="D6" s="5" t="n">
        <f aca="false">C6/B6</f>
        <v>91.8073089700997</v>
      </c>
      <c r="E6" s="6" t="n">
        <f aca="false">G6/B6</f>
        <v>0.606549596582819</v>
      </c>
      <c r="G6" s="20" t="n">
        <v>3834</v>
      </c>
    </row>
    <row r="7" customFormat="false" ht="15" hidden="false" customHeight="false" outlineLevel="0" collapsed="false">
      <c r="A7" s="17" t="s">
        <v>40</v>
      </c>
      <c r="B7" s="18" t="n">
        <v>5868</v>
      </c>
      <c r="C7" s="18" t="n">
        <v>541351</v>
      </c>
      <c r="D7" s="18" t="n">
        <f aca="false">C7/B7</f>
        <v>92.2547716428085</v>
      </c>
      <c r="E7" s="19" t="n">
        <f aca="false">G7/B7</f>
        <v>0.612304021813224</v>
      </c>
      <c r="G7" s="20" t="n">
        <v>3593</v>
      </c>
    </row>
    <row r="8" customFormat="false" ht="15" hidden="false" customHeight="false" outlineLevel="0" collapsed="false">
      <c r="A8" s="4" t="s">
        <v>41</v>
      </c>
      <c r="B8" s="5" t="n">
        <v>5797</v>
      </c>
      <c r="C8" s="5" t="n">
        <v>526300</v>
      </c>
      <c r="D8" s="5" t="n">
        <f aca="false">C8/B8</f>
        <v>90.7883387959289</v>
      </c>
      <c r="E8" s="6" t="n">
        <f aca="false">G8/B8</f>
        <v>0.64084871485251</v>
      </c>
      <c r="G8" s="20" t="n">
        <v>3715</v>
      </c>
    </row>
    <row r="9" customFormat="false" ht="15" hidden="false" customHeight="false" outlineLevel="0" collapsed="false">
      <c r="A9" s="17" t="s">
        <v>42</v>
      </c>
      <c r="B9" s="18" t="n">
        <v>4794</v>
      </c>
      <c r="C9" s="18" t="n">
        <v>439957</v>
      </c>
      <c r="D9" s="18" t="n">
        <f aca="false">C9/B9</f>
        <v>91.7724238631623</v>
      </c>
      <c r="E9" s="19" t="n">
        <f aca="false">G9/B9</f>
        <v>0.623279098873592</v>
      </c>
      <c r="G9" s="20" t="n">
        <v>2988</v>
      </c>
    </row>
    <row r="10" customFormat="false" ht="15" hidden="false" customHeight="false" outlineLevel="0" collapsed="false">
      <c r="A10" s="4" t="s">
        <v>43</v>
      </c>
      <c r="B10" s="5" t="n">
        <v>4757</v>
      </c>
      <c r="C10" s="5" t="n">
        <v>434134</v>
      </c>
      <c r="D10" s="5" t="n">
        <f aca="false">C10/B10</f>
        <v>91.2621400042043</v>
      </c>
      <c r="E10" s="6" t="n">
        <f aca="false">G10/B10</f>
        <v>0.600588606264452</v>
      </c>
      <c r="G10" s="20" t="n">
        <v>2857</v>
      </c>
    </row>
    <row r="11" customFormat="false" ht="15" hidden="false" customHeight="false" outlineLevel="0" collapsed="false">
      <c r="A11" s="17" t="s">
        <v>44</v>
      </c>
      <c r="B11" s="18" t="n">
        <v>4646</v>
      </c>
      <c r="C11" s="18" t="n">
        <v>429711</v>
      </c>
      <c r="D11" s="18" t="n">
        <f aca="false">C11/B11</f>
        <v>92.4905294877314</v>
      </c>
      <c r="E11" s="19" t="n">
        <f aca="false">G11/B11</f>
        <v>0.603099440378821</v>
      </c>
      <c r="G11" s="20" t="n">
        <v>2802</v>
      </c>
    </row>
    <row r="12" customFormat="false" ht="15" hidden="false" customHeight="false" outlineLevel="0" collapsed="false">
      <c r="A12" s="4" t="s">
        <v>45</v>
      </c>
      <c r="B12" s="5" t="n">
        <v>4634</v>
      </c>
      <c r="C12" s="5" t="n">
        <v>427385</v>
      </c>
      <c r="D12" s="5" t="n">
        <f aca="false">C12/B12</f>
        <v>92.2280966767372</v>
      </c>
      <c r="E12" s="6" t="n">
        <f aca="false">G12/B12</f>
        <v>0.63314630988347</v>
      </c>
      <c r="G12" s="20" t="n">
        <v>2934</v>
      </c>
    </row>
    <row r="13" customFormat="false" ht="15" hidden="false" customHeight="false" outlineLevel="0" collapsed="false">
      <c r="A13" s="17" t="s">
        <v>46</v>
      </c>
      <c r="B13" s="18" t="n">
        <v>4487</v>
      </c>
      <c r="C13" s="18" t="n">
        <v>417600</v>
      </c>
      <c r="D13" s="18" t="n">
        <f aca="false">C13/B13</f>
        <v>93.0688656117673</v>
      </c>
      <c r="E13" s="19" t="n">
        <f aca="false">G13/B13</f>
        <v>0.626253621573434</v>
      </c>
      <c r="G13" s="20" t="n">
        <v>2810</v>
      </c>
    </row>
    <row r="14" customFormat="false" ht="15" hidden="false" customHeight="false" outlineLevel="0" collapsed="false">
      <c r="A14" s="4" t="s">
        <v>47</v>
      </c>
      <c r="B14" s="5" t="n">
        <v>4439</v>
      </c>
      <c r="C14" s="5" t="n">
        <v>405202</v>
      </c>
      <c r="D14" s="5" t="n">
        <f aca="false">C14/B14</f>
        <v>91.2822707817076</v>
      </c>
      <c r="E14" s="6" t="n">
        <f aca="false">G14/B14</f>
        <v>0.618833070511377</v>
      </c>
      <c r="G14" s="20" t="n">
        <v>2747</v>
      </c>
    </row>
    <row r="15" customFormat="false" ht="15" hidden="false" customHeight="false" outlineLevel="0" collapsed="false">
      <c r="A15" s="17" t="s">
        <v>48</v>
      </c>
      <c r="B15" s="18" t="n">
        <v>4257</v>
      </c>
      <c r="C15" s="18" t="n">
        <v>391849</v>
      </c>
      <c r="D15" s="18" t="n">
        <f aca="false">C15/B15</f>
        <v>92.0481559783885</v>
      </c>
      <c r="E15" s="19" t="n">
        <f aca="false">G15/B15</f>
        <v>0.635189100305379</v>
      </c>
      <c r="G15" s="20" t="n">
        <v>2704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2026-07-03T19:36:23Z</dcterms:created>
  <dc:creator>openpyxl</dc:creator>
  <dc:description/>
  <dc:language>en-US</dc:language>
  <cp:lastModifiedBy/>
  <dcterms:modified xsi:type="dcterms:W3CDTF">2026-07-03T19:36:23Z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